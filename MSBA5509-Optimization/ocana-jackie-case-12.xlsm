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1" codeName="{BC58C6B1-8752-B0C3-C2C4-DFD462C6FBCC}"/>
  <workbookPr date1904="1" showInkAnnotation="0" codeName="ThisWorkbook" checkCompatibility="1" autoCompressPictures="0"/>
  <mc:AlternateContent xmlns:mc="http://schemas.openxmlformats.org/markup-compatibility/2006">
    <mc:Choice Requires="x15">
      <x15ac:absPath xmlns:x15ac="http://schemas.microsoft.com/office/spreadsheetml/2010/11/ac" url="/Users/Jackie/Desktop/"/>
    </mc:Choice>
  </mc:AlternateContent>
  <xr:revisionPtr revIDLastSave="0" documentId="13_ncr:1_{1D51782B-ED8C-5B47-8966-FE2D82DCA13F}" xr6:coauthVersionLast="47" xr6:coauthVersionMax="47" xr10:uidLastSave="{00000000-0000-0000-0000-000000000000}"/>
  <bookViews>
    <workbookView xWindow="17280" yWindow="500" windowWidth="16320" windowHeight="17580" tabRatio="702" activeTab="1" xr2:uid="{00000000-000D-0000-FFFF-FFFF00000000}"/>
  </bookViews>
  <sheets>
    <sheet name="original" sheetId="2050" r:id="rId1"/>
    <sheet name="propsal 1" sheetId="6" r:id="rId2"/>
    <sheet name="prop 2" sheetId="2051" r:id="rId3"/>
    <sheet name="combo" sheetId="2052" r:id="rId4"/>
  </sheets>
  <functionGroups builtInGroupCount="19"/>
  <definedNames>
    <definedName name="beta">#REF!</definedName>
    <definedName name="InitialTrend">#REF!</definedName>
    <definedName name="sencount" hidden="1">4</definedName>
    <definedName name="sencount2"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31" i="2052" l="1"/>
  <c r="C29" i="2052"/>
  <c r="B26" i="2052"/>
  <c r="B14" i="2052"/>
  <c r="B13" i="2052"/>
  <c r="B9" i="2052"/>
  <c r="B8" i="2052"/>
  <c r="C31" i="2051"/>
  <c r="C29" i="2051"/>
  <c r="B26" i="2051"/>
  <c r="B14" i="2051"/>
  <c r="B13" i="2051"/>
  <c r="B9" i="2051"/>
  <c r="B8" i="2051"/>
  <c r="C31" i="6"/>
  <c r="C29" i="6"/>
  <c r="B26" i="2050"/>
  <c r="B14" i="2050"/>
  <c r="B13" i="2050"/>
  <c r="B9" i="2050"/>
  <c r="B8" i="2050"/>
  <c r="B26" i="6"/>
  <c r="B14" i="6"/>
  <c r="B13" i="6"/>
  <c r="B9" i="6"/>
  <c r="B8" i="6"/>
</calcChain>
</file>

<file path=xl/sharedStrings.xml><?xml version="1.0" encoding="utf-8"?>
<sst xmlns="http://schemas.openxmlformats.org/spreadsheetml/2006/main" count="162" uniqueCount="48">
  <si>
    <r>
      <t>L</t>
    </r>
    <r>
      <rPr>
        <vertAlign val="subscript"/>
        <sz val="10"/>
        <rFont val="Arial"/>
        <family val="2"/>
      </rPr>
      <t>q</t>
    </r>
    <r>
      <rPr>
        <sz val="10"/>
        <rFont val="Arial"/>
        <family val="2"/>
      </rPr>
      <t xml:space="preserve"> =</t>
    </r>
  </si>
  <si>
    <r>
      <t>W</t>
    </r>
    <r>
      <rPr>
        <vertAlign val="subscript"/>
        <sz val="10"/>
        <rFont val="Arial"/>
        <family val="2"/>
      </rPr>
      <t>q</t>
    </r>
    <r>
      <rPr>
        <sz val="10"/>
        <rFont val="Arial"/>
        <family val="2"/>
      </rPr>
      <t xml:space="preserve"> =</t>
    </r>
  </si>
  <si>
    <r>
      <t>P</t>
    </r>
    <r>
      <rPr>
        <vertAlign val="subscript"/>
        <sz val="10"/>
        <rFont val="Arial"/>
        <family val="2"/>
      </rPr>
      <t>0</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</si>
  <si>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</si>
  <si>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2</t>
    </r>
    <r>
      <rPr>
        <sz val="10"/>
        <rFont val="Arial"/>
        <family val="2"/>
      </rPr>
      <t xml:space="preserve"> =</t>
    </r>
  </si>
  <si>
    <r>
      <t>P</t>
    </r>
    <r>
      <rPr>
        <vertAlign val="subscript"/>
        <sz val="10"/>
        <rFont val="Arial"/>
        <family val="2"/>
      </rPr>
      <t>3</t>
    </r>
    <r>
      <rPr>
        <sz val="10"/>
        <rFont val="Arial"/>
        <family val="2"/>
      </rPr>
      <t xml:space="preserve"> =</t>
    </r>
  </si>
  <si>
    <r>
      <t>P</t>
    </r>
    <r>
      <rPr>
        <vertAlign val="subscript"/>
        <sz val="10"/>
        <rFont val="Arial"/>
        <family val="2"/>
      </rPr>
      <t>4</t>
    </r>
    <r>
      <rPr>
        <sz val="10"/>
        <rFont val="Arial"/>
        <family val="2"/>
      </rPr>
      <t xml:space="preserve"> =</t>
    </r>
  </si>
  <si>
    <r>
      <t>P</t>
    </r>
    <r>
      <rPr>
        <vertAlign val="subscript"/>
        <sz val="10"/>
        <rFont val="Arial"/>
        <family val="2"/>
      </rPr>
      <t>5</t>
    </r>
    <r>
      <rPr>
        <sz val="10"/>
        <rFont val="Arial"/>
        <family val="2"/>
      </rPr>
      <t xml:space="preserve"> =</t>
    </r>
  </si>
  <si>
    <r>
      <t>P</t>
    </r>
    <r>
      <rPr>
        <vertAlign val="subscript"/>
        <sz val="10"/>
        <rFont val="Arial"/>
        <family val="2"/>
      </rPr>
      <t>6</t>
    </r>
    <r>
      <rPr>
        <sz val="10"/>
        <rFont val="Arial"/>
        <family val="2"/>
      </rPr>
      <t xml:space="preserve"> =</t>
    </r>
  </si>
  <si>
    <r>
      <t>P</t>
    </r>
    <r>
      <rPr>
        <vertAlign val="subscript"/>
        <sz val="10"/>
        <rFont val="Arial"/>
        <family val="2"/>
      </rPr>
      <t xml:space="preserve">7 </t>
    </r>
    <r>
      <rPr>
        <sz val="10"/>
        <rFont val="Arial"/>
        <family val="2"/>
      </rPr>
      <t>=</t>
    </r>
  </si>
  <si>
    <r>
      <t>P</t>
    </r>
    <r>
      <rPr>
        <vertAlign val="subscript"/>
        <sz val="10"/>
        <rFont val="Arial"/>
        <family val="2"/>
      </rPr>
      <t>8</t>
    </r>
    <r>
      <rPr>
        <sz val="10"/>
        <rFont val="Arial"/>
        <family val="2"/>
      </rPr>
      <t xml:space="preserve"> =</t>
    </r>
  </si>
  <si>
    <r>
      <t>P</t>
    </r>
    <r>
      <rPr>
        <vertAlign val="subscript"/>
        <sz val="10"/>
        <rFont val="Arial"/>
        <family val="2"/>
      </rPr>
      <t>9</t>
    </r>
    <r>
      <rPr>
        <sz val="10"/>
        <rFont val="Arial"/>
        <family val="2"/>
      </rPr>
      <t xml:space="preserve"> =</t>
    </r>
  </si>
  <si>
    <r>
      <t>P</t>
    </r>
    <r>
      <rPr>
        <vertAlign val="subscript"/>
        <sz val="10"/>
        <rFont val="Arial"/>
        <family val="2"/>
      </rPr>
      <t>10</t>
    </r>
    <r>
      <rPr>
        <sz val="10"/>
        <rFont val="Arial"/>
        <family val="2"/>
      </rPr>
      <t xml:space="preserve"> =</t>
    </r>
  </si>
  <si>
    <t>Template for Queueing Simulation</t>
  </si>
  <si>
    <t>Number of Servers =</t>
  </si>
  <si>
    <t>Service Times</t>
  </si>
  <si>
    <t>Distribution =</t>
  </si>
  <si>
    <t>Interarrival Times</t>
  </si>
  <si>
    <t>Point</t>
  </si>
  <si>
    <t>Estimate</t>
  </si>
  <si>
    <t>Low</t>
  </si>
  <si>
    <t>High</t>
  </si>
  <si>
    <t>95% Confidence Interval</t>
  </si>
  <si>
    <t>L =</t>
  </si>
  <si>
    <t>W =</t>
  </si>
  <si>
    <t>Results</t>
  </si>
  <si>
    <t>Data</t>
  </si>
  <si>
    <t>Number of Arrivals =</t>
  </si>
  <si>
    <t>Length of Simulation Run</t>
  </si>
  <si>
    <t>Exponential</t>
  </si>
  <si>
    <t>Translated Exponential</t>
  </si>
  <si>
    <t>average number of jobs 2</t>
  </si>
  <si>
    <t>half pltaen, half housing</t>
  </si>
  <si>
    <t>dollars per hour</t>
  </si>
  <si>
    <t>Proposal 1</t>
  </si>
  <si>
    <t>waiting cost</t>
  </si>
  <si>
    <t xml:space="preserve">Proposal 1: Obtain one additional planer. The total incremental cost (including capital recovery cost) is estimated to be $30 per hour. (This estimate takes into account the fact that, even with an additional planer, the total running time for all the planers will remain the same.)												
												</t>
  </si>
  <si>
    <t>average jobs</t>
  </si>
  <si>
    <t>net savings</t>
  </si>
  <si>
    <t>90/hr &amp; 30/hr</t>
  </si>
  <si>
    <t xml:space="preserve">Proposal 2: Eliminate the variability in the interarrival times of the castings, so that the castings would arrive regularly, one every 15 minutes, alternating between platen castings and housing castings. This would require making some changes in the preceding production processes, with an incremental cost of $60 per hour.												
												</t>
  </si>
  <si>
    <t>Constant</t>
  </si>
  <si>
    <t>90/hr &amp; 60/hr</t>
  </si>
  <si>
    <t>less profitable</t>
  </si>
  <si>
    <t xml:space="preserve">Suggesting both 1 and 2: average number of tasks in three-part program with continuous interaction is approximately 1.33. half will be plate cutters and other will be house cutters			
			</t>
  </si>
  <si>
    <t>85/hr &amp; 60/hr</t>
  </si>
  <si>
    <t>best option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</si>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</sst>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9"/>
      <name val="Geneva"/>
    </font>
    <font>
      <sz val="10"/>
      <name val="Arial"/>
      <family val="2"/>
    </font>
    <font>
      <b/>
      <sz val="14"/>
      <name val="Arial"/>
      <family val="2"/>
    </font>
    <font>
      <b/>
      <sz val="10"/>
      <name val="Arial"/>
      <family val="2"/>
    </font>
    <font>
      <vertAlign val="subscript"/>
      <sz val="10"/>
      <name val="Arial"/>
      <family val="2"/>
    </font>
    <font>
      <sz val="12"/>
      <name val="Arial"/>
      <family val="2"/>
    </font>
  </fonts>
  <fills count="4">
    <fill>
      <patternFill patternType="none"/>
    </fill>
    <fill>
      <patternFill patternType="gray125"/>
    </fill>
    <fill>
      <patternFill patternType="solid">
        <fgColor theme="3" tint="0.79998168889431442"/>
        <bgColor indexed="64"/>
      </patternFill>
    </fill>
    <fill>
      <patternFill patternType="solid">
        <fgColor rgb="FFFFC000"/>
        <bgColor indexed="64"/>
      </patternFill>
    </fill>
  </fills>
  <borders count="16">
    <border>
      <left/>
      <right/>
      <top/>
      <bottom/>
      <diagonal/>
    </border>
    <border>
      <left style="medium">
        <color auto="1"/>
      </left>
      <right/>
      <top style="medium">
        <color auto="1"/>
      </top>
      <bottom/>
      <diagonal/>
    </border>
    <border>
      <left style="thin">
        <color auto="1"/>
      </left>
      <right style="thin">
        <color auto="1"/>
      </right>
      <top style="medium">
        <color auto="1"/>
      </top>
      <bottom/>
      <diagonal/>
    </border>
    <border>
      <left style="medium">
        <color auto="1"/>
      </left>
      <right/>
      <top/>
      <bottom style="thin">
        <color auto="1"/>
      </bottom>
      <diagonal/>
    </border>
    <border>
      <left style="thin">
        <color auto="1"/>
      </left>
      <right style="thin">
        <color auto="1"/>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bottom/>
      <diagonal/>
    </border>
    <border>
      <left/>
      <right style="medium">
        <color auto="1"/>
      </right>
      <top/>
      <bottom/>
      <diagonal/>
    </border>
    <border>
      <left style="thin">
        <color auto="1"/>
      </left>
      <right style="thin">
        <color auto="1"/>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medium">
        <color auto="1"/>
      </top>
      <bottom/>
      <diagonal/>
    </border>
    <border>
      <left/>
      <right style="medium">
        <color auto="1"/>
      </right>
      <top style="medium">
        <color auto="1"/>
      </top>
      <bottom/>
      <diagonal/>
    </border>
  </borders>
  <cellStyleXfs count="1">
    <xf numFmtId="0" fontId="0" fillId="0" borderId="0"/>
  </cellStyleXfs>
  <cellXfs count="27">
    <xf numFmtId="0" fontId="0" fillId="0" borderId="0" xfId="0"/>
    <xf numFmtId="0" fontId="1" fillId="0" borderId="0" xfId="0" applyFont="1"/>
    <xf numFmtId="0" fontId="2" fillId="0" borderId="0" xfId="0" applyFont="1"/>
    <xf numFmtId="0" fontId="1" fillId="0" borderId="0" xfId="0" applyFont="1" applyAlignment="1">
      <alignment horizontal="center"/>
    </xf>
    <xf numFmtId="0" fontId="3" fillId="0" borderId="0" xfId="0" applyFont="1" applyAlignment="1">
      <alignment horizontal="center"/>
    </xf>
    <xf numFmtId="0" fontId="3" fillId="0" borderId="0" xfId="0" applyFont="1"/>
    <xf numFmtId="0" fontId="1" fillId="0" borderId="1" xfId="0" applyFont="1" applyBorder="1"/>
    <xf numFmtId="0" fontId="1" fillId="0" borderId="2" xfId="0" applyFont="1" applyBorder="1" applyAlignment="1">
      <alignment horizontal="center"/>
    </xf>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right"/>
    </xf>
    <xf numFmtId="0" fontId="1" fillId="0" borderId="8" xfId="0" applyFont="1" applyBorder="1" applyAlignment="1">
      <alignment horizontal="right"/>
    </xf>
    <xf numFmtId="0" fontId="1" fillId="0" borderId="0" xfId="0" applyFont="1" applyAlignment="1">
      <alignment horizontal="right"/>
    </xf>
    <xf numFmtId="0" fontId="1" fillId="2" borderId="0" xfId="0" applyFont="1" applyFill="1" applyAlignment="1">
      <alignment horizontal="center"/>
    </xf>
    <xf numFmtId="3" fontId="1" fillId="2" borderId="0" xfId="0" applyNumberFormat="1" applyFont="1" applyFill="1" applyAlignment="1">
      <alignment horizontal="center"/>
    </xf>
    <xf numFmtId="0" fontId="1" fillId="3" borderId="9" xfId="0" applyFont="1" applyFill="1" applyBorder="1" applyAlignment="1">
      <alignment horizontal="center"/>
    </xf>
    <xf numFmtId="0" fontId="1" fillId="3" borderId="0" xfId="0" applyFont="1" applyFill="1"/>
    <xf numFmtId="0" fontId="1" fillId="3" borderId="10" xfId="0" applyFont="1" applyFill="1" applyBorder="1"/>
    <xf numFmtId="0" fontId="1" fillId="3" borderId="11" xfId="0" applyFont="1" applyFill="1" applyBorder="1" applyAlignment="1">
      <alignment horizontal="center"/>
    </xf>
    <xf numFmtId="0" fontId="1" fillId="3" borderId="12" xfId="0" applyFont="1" applyFill="1" applyBorder="1"/>
    <xf numFmtId="0" fontId="1" fillId="3" borderId="13" xfId="0" applyFont="1" applyFill="1" applyBorder="1"/>
    <xf numFmtId="0" fontId="1" fillId="0" borderId="14" xfId="0" applyFont="1" applyBorder="1" applyAlignment="1">
      <alignment horizontal="center"/>
    </xf>
    <xf numFmtId="0" fontId="1" fillId="0" borderId="15" xfId="0" applyFont="1" applyBorder="1" applyAlignment="1">
      <alignment horizontal="center"/>
    </xf>
    <xf numFmtId="0" fontId="5" fillId="0" borderId="0" xfId="0" applyFont="1" applyAlignment="1">
      <alignment horizontal="left" vertical="top" wrapText="1"/>
    </xf>
    <xf numFmtId="0" fontId="5" fillId="0" borderId="0" xfId="0" applyFont="1" applyAlignment="1">
      <alignment horizontal="left" vertical="top"/>
    </xf>
  </cellXfs>
  <cellStyles count="1">
    <cellStyle name="Normal" xfId="0" builtinId="0"/>
  </cellStyles>
  <dxfs count="8">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650875</xdr:colOff>
      <xdr:row>19</xdr:row>
      <xdr:rowOff>88900</xdr:rowOff>
    </xdr:from>
    <xdr:to>
      <xdr:col>2</xdr:col>
      <xdr:colOff>393785</xdr:colOff>
      <xdr:row>20</xdr:row>
      <xdr:rowOff>152400</xdr:rowOff>
    </xdr:to>
    <xdr:sp macro="[0]!Sheet6.DoSimulationRun" textlink="">
      <xdr:nvSpPr>
        <xdr:cNvPr id="2" name="AutoShape 2" descr="712ee6ff-9d2e-4cee-b5c5-e443afc55086">
          <a:extLst>
            <a:ext uri="{FF2B5EF4-FFF2-40B4-BE49-F238E27FC236}">
              <a16:creationId xmlns:a16="http://schemas.microsoft.com/office/drawing/2014/main" id="{9A6EE746-2441-B344-85E4-F020852DFCD0}"/>
            </a:ext>
          </a:extLst>
        </xdr:cNvPr>
        <xdr:cNvSpPr>
          <a:spLocks noChangeArrowheads="1"/>
        </xdr:cNvSpPr>
      </xdr:nvSpPr>
      <xdr:spPr bwMode="auto">
        <a:xfrm>
          <a:off x="866775" y="3581400"/>
          <a:ext cx="1381210" cy="254000"/>
        </a:xfrm>
        <a:prstGeom prst="roundRect">
          <a:avLst>
            <a:gd name="adj" fmla="val 16667"/>
          </a:avLst>
        </a:prstGeom>
        <a:solidFill>
          <a:srgbClr val="C0C0C0"/>
        </a:solidFill>
        <a:ln w="19050">
          <a:solidFill>
            <a:srgbClr val="000000"/>
          </a:solidFill>
          <a:round/>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Chicago"/>
              <a:ea typeface="Chicago"/>
              <a:cs typeface="Chicago"/>
            </a:rPr>
            <a:t>Run Simulation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650875</xdr:colOff>
      <xdr:row>19</xdr:row>
      <xdr:rowOff>88900</xdr:rowOff>
    </xdr:from>
    <xdr:to>
      <xdr:col>2</xdr:col>
      <xdr:colOff>393785</xdr:colOff>
      <xdr:row>20</xdr:row>
      <xdr:rowOff>152400</xdr:rowOff>
    </xdr:to>
    <xdr:sp macro="[0]!Sheet6.DoSimulationRun" textlink="">
      <xdr:nvSpPr>
        <xdr:cNvPr id="1026" name="AutoShape 2" descr="712ee6ff-9d2e-4cee-b5c5-e443afc55086">
          <a:extLst>
            <a:ext uri="{FF2B5EF4-FFF2-40B4-BE49-F238E27FC236}">
              <a16:creationId xmlns:a16="http://schemas.microsoft.com/office/drawing/2014/main" id="{00000000-0008-0000-0000-000002040000}"/>
            </a:ext>
          </a:extLst>
        </xdr:cNvPr>
        <xdr:cNvSpPr>
          <a:spLocks noChangeArrowheads="1"/>
        </xdr:cNvSpPr>
      </xdr:nvSpPr>
      <xdr:spPr bwMode="auto">
        <a:xfrm>
          <a:off x="752475" y="3686175"/>
          <a:ext cx="1209675" cy="276225"/>
        </a:xfrm>
        <a:prstGeom prst="roundRect">
          <a:avLst>
            <a:gd name="adj" fmla="val 16667"/>
          </a:avLst>
        </a:prstGeom>
        <a:solidFill>
          <a:srgbClr val="C0C0C0"/>
        </a:solidFill>
        <a:ln w="19050">
          <a:solidFill>
            <a:srgbClr val="000000"/>
          </a:solidFill>
          <a:round/>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Chicago"/>
              <a:ea typeface="Chicago"/>
              <a:cs typeface="Chicago"/>
            </a:rPr>
            <a:t>Run Simulation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650875</xdr:colOff>
      <xdr:row>19</xdr:row>
      <xdr:rowOff>88900</xdr:rowOff>
    </xdr:from>
    <xdr:to>
      <xdr:col>2</xdr:col>
      <xdr:colOff>393785</xdr:colOff>
      <xdr:row>20</xdr:row>
      <xdr:rowOff>152400</xdr:rowOff>
    </xdr:to>
    <xdr:sp macro="[0]!Sheet6.DoSimulationRun" textlink="">
      <xdr:nvSpPr>
        <xdr:cNvPr id="2" name="AutoShape 2" descr="712ee6ff-9d2e-4cee-b5c5-e443afc55086">
          <a:extLst>
            <a:ext uri="{FF2B5EF4-FFF2-40B4-BE49-F238E27FC236}">
              <a16:creationId xmlns:a16="http://schemas.microsoft.com/office/drawing/2014/main" id="{AE8D2167-7BB2-EB4A-8623-ADFF91DFC984}"/>
            </a:ext>
          </a:extLst>
        </xdr:cNvPr>
        <xdr:cNvSpPr>
          <a:spLocks noChangeArrowheads="1"/>
        </xdr:cNvSpPr>
      </xdr:nvSpPr>
      <xdr:spPr bwMode="auto">
        <a:xfrm>
          <a:off x="866775" y="3581400"/>
          <a:ext cx="1381210" cy="254000"/>
        </a:xfrm>
        <a:prstGeom prst="roundRect">
          <a:avLst>
            <a:gd name="adj" fmla="val 16667"/>
          </a:avLst>
        </a:prstGeom>
        <a:solidFill>
          <a:srgbClr val="C0C0C0"/>
        </a:solidFill>
        <a:ln w="19050">
          <a:solidFill>
            <a:srgbClr val="000000"/>
          </a:solidFill>
          <a:round/>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Chicago"/>
              <a:ea typeface="Chicago"/>
              <a:cs typeface="Chicago"/>
            </a:rPr>
            <a:t>Run Simulation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650875</xdr:colOff>
      <xdr:row>19</xdr:row>
      <xdr:rowOff>88900</xdr:rowOff>
    </xdr:from>
    <xdr:to>
      <xdr:col>2</xdr:col>
      <xdr:colOff>393785</xdr:colOff>
      <xdr:row>20</xdr:row>
      <xdr:rowOff>152400</xdr:rowOff>
    </xdr:to>
    <xdr:sp macro="[0]!Sheet6.DoSimulationRun" textlink="">
      <xdr:nvSpPr>
        <xdr:cNvPr id="2" name="AutoShape 2" descr="712ee6ff-9d2e-4cee-b5c5-e443afc55086">
          <a:extLst>
            <a:ext uri="{FF2B5EF4-FFF2-40B4-BE49-F238E27FC236}">
              <a16:creationId xmlns:a16="http://schemas.microsoft.com/office/drawing/2014/main" id="{FBCA26FA-85C6-5543-9F75-F8082D99A07C}"/>
            </a:ext>
          </a:extLst>
        </xdr:cNvPr>
        <xdr:cNvSpPr>
          <a:spLocks noChangeArrowheads="1"/>
        </xdr:cNvSpPr>
      </xdr:nvSpPr>
      <xdr:spPr bwMode="auto">
        <a:xfrm>
          <a:off x="866775" y="3581400"/>
          <a:ext cx="1381210" cy="254000"/>
        </a:xfrm>
        <a:prstGeom prst="roundRect">
          <a:avLst>
            <a:gd name="adj" fmla="val 16667"/>
          </a:avLst>
        </a:prstGeom>
        <a:solidFill>
          <a:srgbClr val="C0C0C0"/>
        </a:solidFill>
        <a:ln w="19050">
          <a:solidFill>
            <a:srgbClr val="000000"/>
          </a:solidFill>
          <a:round/>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Chicago"/>
              <a:ea typeface="Chicago"/>
              <a:cs typeface="Chicago"/>
            </a:rPr>
            <a:t>Run Simulation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EEC0F-97D4-6044-8325-B16B682A9200}">
  <sheetPr codeName="Sheet7">
    <pageSetUpPr fitToPage="1"/>
  </sheetPr>
  <dimension ref="A1:H33"/>
  <sheetViews>
    <sheetView workbookViewId="0">
      <selection activeCell="B28" sqref="B28"/>
    </sheetView>
  </sheetViews>
  <sheetFormatPr baseColWidth="10" defaultColWidth="10.83203125" defaultRowHeight="13" x14ac:dyDescent="0.15"/>
  <cols>
    <col min="1" max="1" width="2.83203125" style="1" customWidth="1"/>
    <col min="2" max="2" width="21.5" style="1" bestFit="1" customWidth="1"/>
    <col min="3" max="3" width="19.6640625" style="3" bestFit="1" customWidth="1"/>
    <col min="4" max="4" width="10.83203125" style="1" customWidth="1"/>
    <col min="5" max="5" width="5.5" style="1" customWidth="1"/>
    <col min="6" max="6" width="10.83203125" style="3" customWidth="1"/>
    <col min="7" max="8" width="12.83203125" style="1" customWidth="1"/>
    <col min="9" max="16384" width="10.83203125" style="1"/>
  </cols>
  <sheetData>
    <row r="1" spans="1:8" ht="18" x14ac:dyDescent="0.2">
      <c r="A1" s="2" t="s">
        <v>13</v>
      </c>
    </row>
    <row r="3" spans="1:8" ht="14" thickBot="1" x14ac:dyDescent="0.2">
      <c r="C3" s="4" t="s">
        <v>26</v>
      </c>
      <c r="F3" s="1"/>
      <c r="G3" s="5" t="s">
        <v>25</v>
      </c>
    </row>
    <row r="4" spans="1:8" x14ac:dyDescent="0.15">
      <c r="B4" s="14" t="s">
        <v>14</v>
      </c>
      <c r="C4" s="15">
        <v>2</v>
      </c>
      <c r="E4" s="6"/>
      <c r="F4" s="7" t="s">
        <v>18</v>
      </c>
      <c r="G4" s="23" t="s">
        <v>22</v>
      </c>
      <c r="H4" s="24"/>
    </row>
    <row r="5" spans="1:8" x14ac:dyDescent="0.15">
      <c r="E5" s="8"/>
      <c r="F5" s="9" t="s">
        <v>19</v>
      </c>
      <c r="G5" s="10" t="s">
        <v>20</v>
      </c>
      <c r="H5" s="11" t="s">
        <v>21</v>
      </c>
    </row>
    <row r="6" spans="1:8" x14ac:dyDescent="0.15">
      <c r="B6" s="5" t="s">
        <v>17</v>
      </c>
      <c r="E6" s="12" t="s">
        <v>23</v>
      </c>
      <c r="F6" s="17">
        <v>2.0054580680146694</v>
      </c>
      <c r="G6" s="18">
        <v>1.8973641018728942</v>
      </c>
      <c r="H6" s="19">
        <v>2.1135520341564447</v>
      </c>
    </row>
    <row r="7" spans="1:8" ht="15" x14ac:dyDescent="0.2">
      <c r="B7" s="14" t="s">
        <v>16</v>
      </c>
      <c r="C7" s="15" t="s">
        <v>29</v>
      </c>
      <c r="E7" s="12" t="s">
        <v>0</v>
      </c>
      <c r="F7" s="17">
        <v>0.67892104853685109</v>
      </c>
      <c r="G7" s="18">
        <v>0.593212196770737</v>
      </c>
      <c r="H7" s="19">
        <v>0.76462990030296518</v>
      </c>
    </row>
    <row r="8" spans="1:8" x14ac:dyDescent="0.15">
      <c r="B8" s="14" t="str">
        <f>IF(C7="Constant","Value =",IF(C7="Erlang","Mean =",IF(C7="Exponential","Mean =",IF(C7="Translated Exponential","Minimum Value =","Minimum Value ="))))</f>
        <v>Mean =</v>
      </c>
      <c r="C8" s="15">
        <v>15</v>
      </c>
      <c r="E8" s="12" t="s">
        <v>24</v>
      </c>
      <c r="F8" s="17">
        <v>30.078521377881216</v>
      </c>
      <c r="G8" s="18">
        <v>28.807640240221769</v>
      </c>
      <c r="H8" s="19">
        <v>31.349402515540664</v>
      </c>
    </row>
    <row r="9" spans="1:8" ht="15" x14ac:dyDescent="0.2">
      <c r="B9" s="14" t="str">
        <f>IF(C7="Erlang","k =",IF(C7="Translated Exponential","Mean =",IF(C7="Uniform","Maximum Value =","")))</f>
        <v/>
      </c>
      <c r="C9" s="15"/>
      <c r="E9" s="12" t="s">
        <v>1</v>
      </c>
      <c r="F9" s="17">
        <v>10.18268175136925</v>
      </c>
      <c r="G9" s="18">
        <v>9.0057313696366084</v>
      </c>
      <c r="H9" s="19">
        <v>11.359632133101892</v>
      </c>
    </row>
    <row r="10" spans="1:8" x14ac:dyDescent="0.15">
      <c r="E10" s="12"/>
      <c r="F10" s="17"/>
      <c r="G10" s="18"/>
      <c r="H10" s="19"/>
    </row>
    <row r="11" spans="1:8" ht="15" x14ac:dyDescent="0.2">
      <c r="B11" s="5" t="s">
        <v>15</v>
      </c>
      <c r="E11" s="12" t="s">
        <v>2</v>
      </c>
      <c r="F11" s="17">
        <v>0.19913927575726353</v>
      </c>
      <c r="G11" s="18">
        <v>0.18799433019446521</v>
      </c>
      <c r="H11" s="19">
        <v>0.21028422132006186</v>
      </c>
    </row>
    <row r="12" spans="1:8" ht="15" x14ac:dyDescent="0.2">
      <c r="B12" s="14" t="s">
        <v>16</v>
      </c>
      <c r="C12" s="15" t="s">
        <v>30</v>
      </c>
      <c r="E12" s="12" t="s">
        <v>3</v>
      </c>
      <c r="F12" s="17">
        <v>0.27518442900765305</v>
      </c>
      <c r="G12" s="18">
        <v>0.26413531185474431</v>
      </c>
      <c r="H12" s="19">
        <v>0.28623354616056179</v>
      </c>
    </row>
    <row r="13" spans="1:8" ht="15" x14ac:dyDescent="0.2">
      <c r="B13" s="14" t="str">
        <f>IF(C12="Constant","Value =",IF(C12="Erlang","Mean =",IF(C12="Exponential","Mean =",IF(C12="Translated Exponential","Minimum Value =","Minimum Value ="))))</f>
        <v>Minimum Value =</v>
      </c>
      <c r="C13" s="15">
        <v>10</v>
      </c>
      <c r="E13" s="12" t="s">
        <v>4</v>
      </c>
      <c r="F13" s="17">
        <v>0.2163830233365025</v>
      </c>
      <c r="G13" s="18">
        <v>0.2086965389048244</v>
      </c>
      <c r="H13" s="19">
        <v>0.2240695077681806</v>
      </c>
    </row>
    <row r="14" spans="1:8" ht="15" x14ac:dyDescent="0.2">
      <c r="B14" s="14" t="str">
        <f>IF(C12="Erlang","k =",IF(C12="Translated Exponential","Mean =",IF(C12="Uniform","Maximum Value =","")))</f>
        <v>Mean =</v>
      </c>
      <c r="C14" s="15">
        <v>20</v>
      </c>
      <c r="E14" s="12" t="s">
        <v>5</v>
      </c>
      <c r="F14" s="17">
        <v>0.14128497017548741</v>
      </c>
      <c r="G14" s="18">
        <v>0.13388802962872776</v>
      </c>
      <c r="H14" s="19">
        <v>0.14868191072224707</v>
      </c>
    </row>
    <row r="15" spans="1:8" ht="15" x14ac:dyDescent="0.2">
      <c r="E15" s="12" t="s">
        <v>6</v>
      </c>
      <c r="F15" s="17">
        <v>7.676878501783535E-2</v>
      </c>
      <c r="G15" s="18">
        <v>7.073254815761755E-2</v>
      </c>
      <c r="H15" s="19">
        <v>8.2805021878053151E-2</v>
      </c>
    </row>
    <row r="16" spans="1:8" ht="15" x14ac:dyDescent="0.2">
      <c r="B16" s="5" t="s">
        <v>28</v>
      </c>
      <c r="E16" s="12" t="s">
        <v>7</v>
      </c>
      <c r="F16" s="17">
        <v>4.0590679563983108E-2</v>
      </c>
      <c r="G16" s="18">
        <v>3.5329424866984788E-2</v>
      </c>
      <c r="H16" s="19">
        <v>4.5851934260981428E-2</v>
      </c>
    </row>
    <row r="17" spans="2:8" ht="15" x14ac:dyDescent="0.2">
      <c r="B17" s="14" t="s">
        <v>27</v>
      </c>
      <c r="C17" s="16">
        <v>10000</v>
      </c>
      <c r="E17" s="12" t="s">
        <v>8</v>
      </c>
      <c r="F17" s="17">
        <v>2.2154807835175556E-2</v>
      </c>
      <c r="G17" s="18">
        <v>1.7692342199438913E-2</v>
      </c>
      <c r="H17" s="19">
        <v>2.6617273470912198E-2</v>
      </c>
    </row>
    <row r="18" spans="2:8" ht="15" x14ac:dyDescent="0.2">
      <c r="E18" s="12" t="s">
        <v>9</v>
      </c>
      <c r="F18" s="17">
        <v>1.3138091754780142E-2</v>
      </c>
      <c r="G18" s="18">
        <v>9.6005668462446816E-3</v>
      </c>
      <c r="H18" s="19">
        <v>1.6675616663315605E-2</v>
      </c>
    </row>
    <row r="19" spans="2:8" ht="15" x14ac:dyDescent="0.2">
      <c r="E19" s="12" t="s">
        <v>10</v>
      </c>
      <c r="F19" s="17">
        <v>6.8988267684798252E-3</v>
      </c>
      <c r="G19" s="18">
        <v>4.3784940327866884E-3</v>
      </c>
      <c r="H19" s="19">
        <v>9.4191595041729619E-3</v>
      </c>
    </row>
    <row r="20" spans="2:8" ht="15" x14ac:dyDescent="0.2">
      <c r="E20" s="12" t="s">
        <v>11</v>
      </c>
      <c r="F20" s="17">
        <v>4.3358143319660956E-3</v>
      </c>
      <c r="G20" s="18">
        <v>2.226121149721298E-3</v>
      </c>
      <c r="H20" s="19">
        <v>6.4455075142108931E-3</v>
      </c>
    </row>
    <row r="21" spans="2:8" ht="16" thickBot="1" x14ac:dyDescent="0.25">
      <c r="E21" s="13" t="s">
        <v>12</v>
      </c>
      <c r="F21" s="20">
        <v>1.8737821101099219E-3</v>
      </c>
      <c r="G21" s="21">
        <v>4.9505779711826519E-4</v>
      </c>
      <c r="H21" s="22">
        <v>3.2525064231015786E-3</v>
      </c>
    </row>
    <row r="24" spans="2:8" x14ac:dyDescent="0.15">
      <c r="B24" s="1" t="s">
        <v>31</v>
      </c>
    </row>
    <row r="25" spans="2:8" x14ac:dyDescent="0.15">
      <c r="B25" s="1" t="s">
        <v>32</v>
      </c>
    </row>
    <row r="26" spans="2:8" x14ac:dyDescent="0.15">
      <c r="B26" s="1">
        <f>200*1+100*1</f>
        <v>300</v>
      </c>
      <c r="C26" s="3" t="s">
        <v>33</v>
      </c>
    </row>
    <row r="33" spans="2:2" x14ac:dyDescent="0.15">
      <c r="B33" s="5"/>
    </row>
  </sheetData>
  <mergeCells count="1">
    <mergeCell ref="G4:H4"/>
  </mergeCells>
  <conditionalFormatting sqref="C9">
    <cfRule type="expression" dxfId="7" priority="1" stopIfTrue="1">
      <formula>OR(C7="Exponential",C7="Constant")</formula>
    </cfRule>
  </conditionalFormatting>
  <conditionalFormatting sqref="C14">
    <cfRule type="expression" dxfId="6" priority="2" stopIfTrue="1">
      <formula>OR(C12="Constant",C12="Exponential")</formula>
    </cfRule>
  </conditionalFormatting>
  <dataValidations count="3">
    <dataValidation type="whole" allowBlank="1" showInputMessage="1" showErrorMessage="1" error="The number of servers must be between 1 and 25 (inclusive)." sqref="C4" xr:uid="{C52DB8D6-56B8-3D43-900A-94A7C947A584}">
      <formula1>1</formula1>
      <formula2>25</formula2>
    </dataValidation>
    <dataValidation type="whole" allowBlank="1" showInputMessage="1" showErrorMessage="1" error="The number of arrivals simulated must be an integer between 1 and 1,000,000." sqref="C17" xr:uid="{767D20A9-1440-1640-8622-B7D18739DAA4}">
      <formula1>1</formula1>
      <formula2>1000000</formula2>
    </dataValidation>
    <dataValidation type="list" allowBlank="1" showInputMessage="1" showErrorMessage="1" sqref="C7 C12" xr:uid="{54B55418-055E-744E-A352-048B17B47694}">
      <formula1>"Constant,Erlang,Exponential,Translated Exponential,Uniform"</formula1>
    </dataValidation>
  </dataValidations>
  <printOptions headings="1" gridLines="1"/>
  <pageMargins left="0.75" right="0.75" top="1" bottom="1" header="0.5" footer="0.5"/>
  <pageSetup paperSize="0" orientation="landscape" horizontalDpi="4294967292" verticalDpi="429496729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J35"/>
  <sheetViews>
    <sheetView tabSelected="1" workbookViewId="0">
      <selection activeCell="B35" sqref="B35"/>
    </sheetView>
  </sheetViews>
  <sheetFormatPr baseColWidth="10" defaultColWidth="10.83203125" defaultRowHeight="13" x14ac:dyDescent="0.15"/>
  <cols>
    <col min="1" max="1" width="2.83203125" style="1" customWidth="1"/>
    <col min="2" max="2" width="21.5" style="1" bestFit="1" customWidth="1"/>
    <col min="3" max="3" width="19.6640625" style="3" bestFit="1" customWidth="1"/>
    <col min="4" max="4" width="10.83203125" style="1" customWidth="1"/>
    <col min="5" max="5" width="5.5" style="1" customWidth="1"/>
    <col min="6" max="6" width="10.83203125" style="3" customWidth="1"/>
    <col min="7" max="8" width="12.83203125" style="1" customWidth="1"/>
    <col min="9" max="16384" width="10.83203125" style="1"/>
  </cols>
  <sheetData>
    <row r="1" spans="1:8" ht="18" x14ac:dyDescent="0.2">
      <c r="A1" s="2" t="s">
        <v>13</v>
      </c>
    </row>
    <row r="3" spans="1:8" ht="14" thickBot="1" x14ac:dyDescent="0.2">
      <c r="C3" s="4" t="s">
        <v>26</v>
      </c>
      <c r="F3" s="1"/>
      <c r="G3" s="5" t="s">
        <v>25</v>
      </c>
    </row>
    <row r="4" spans="1:8" x14ac:dyDescent="0.15">
      <c r="B4" s="14" t="s">
        <v>14</v>
      </c>
      <c r="C4" s="15">
        <v>3</v>
      </c>
      <c r="E4" s="6"/>
      <c r="F4" s="7" t="s">
        <v>18</v>
      </c>
      <c r="G4" s="23" t="s">
        <v>22</v>
      </c>
      <c r="H4" s="24"/>
    </row>
    <row r="5" spans="1:8" x14ac:dyDescent="0.15">
      <c r="E5" s="8"/>
      <c r="F5" s="9" t="s">
        <v>19</v>
      </c>
      <c r="G5" s="10" t="s">
        <v>20</v>
      </c>
      <c r="H5" s="11" t="s">
        <v>21</v>
      </c>
    </row>
    <row r="6" spans="1:8" x14ac:dyDescent="0.15">
      <c r="B6" s="5" t="s">
        <v>17</v>
      </c>
      <c r="E6" s="12" t="s">
        <v>23</v>
      </c>
      <c r="F6" s="17">
        <v>1.4431726735382904</v>
      </c>
      <c r="G6" s="18">
        <v>1.4045418404194179</v>
      </c>
      <c r="H6" s="19">
        <v>1.4818035066571629</v>
      </c>
    </row>
    <row r="7" spans="1:8" ht="15" x14ac:dyDescent="0.2">
      <c r="B7" s="14" t="s">
        <v>16</v>
      </c>
      <c r="C7" s="15" t="s">
        <v>29</v>
      </c>
      <c r="E7" s="12" t="s">
        <v>0</v>
      </c>
      <c r="F7" s="17">
        <v>9.9226651355754272E-2</v>
      </c>
      <c r="G7" s="18">
        <v>8.6083081176380305E-2</v>
      </c>
      <c r="H7" s="19">
        <v>0.11237022153512824</v>
      </c>
    </row>
    <row r="8" spans="1:8" x14ac:dyDescent="0.15">
      <c r="B8" s="14" t="str">
        <f>IF(C7="Constant","Value =",IF(C7="Erlang","Mean =",IF(C7="Exponential","Mean =",IF(C7="Translated Exponential","Minimum Value =","Minimum Value ="))))</f>
        <v>Mean =</v>
      </c>
      <c r="C8" s="15">
        <v>15</v>
      </c>
      <c r="E8" s="12" t="s">
        <v>24</v>
      </c>
      <c r="F8" s="17">
        <v>21.561277052912395</v>
      </c>
      <c r="G8" s="18">
        <v>21.249794249083976</v>
      </c>
      <c r="H8" s="19">
        <v>21.872759856740814</v>
      </c>
    </row>
    <row r="9" spans="1:8" ht="15" x14ac:dyDescent="0.2">
      <c r="B9" s="14" t="str">
        <f>IF(C7="Erlang","k =",IF(C7="Translated Exponential","Mean =",IF(C7="Uniform","Maximum Value =","")))</f>
        <v/>
      </c>
      <c r="C9" s="15"/>
      <c r="E9" s="12" t="s">
        <v>1</v>
      </c>
      <c r="F9" s="17">
        <v>1.4824652379737557</v>
      </c>
      <c r="G9" s="18">
        <v>1.3000065337418831</v>
      </c>
      <c r="H9" s="19">
        <v>1.6649239422056283</v>
      </c>
    </row>
    <row r="10" spans="1:8" x14ac:dyDescent="0.15">
      <c r="E10" s="12"/>
      <c r="F10" s="17"/>
      <c r="G10" s="18"/>
      <c r="H10" s="19"/>
    </row>
    <row r="11" spans="1:8" ht="15" x14ac:dyDescent="0.2">
      <c r="B11" s="5" t="s">
        <v>15</v>
      </c>
      <c r="E11" s="12" t="s">
        <v>2</v>
      </c>
      <c r="F11" s="17">
        <v>0.25108831124089714</v>
      </c>
      <c r="G11" s="18">
        <v>0.24126734995897309</v>
      </c>
      <c r="H11" s="19">
        <v>0.2609092725228212</v>
      </c>
    </row>
    <row r="12" spans="1:8" ht="15" x14ac:dyDescent="0.2">
      <c r="B12" s="14" t="s">
        <v>16</v>
      </c>
      <c r="C12" s="15" t="s">
        <v>30</v>
      </c>
      <c r="E12" s="12" t="s">
        <v>3</v>
      </c>
      <c r="F12" s="17">
        <v>0.33697496820975653</v>
      </c>
      <c r="G12" s="18">
        <v>0.32867444374649468</v>
      </c>
      <c r="H12" s="19">
        <v>0.34527549267301838</v>
      </c>
    </row>
    <row r="13" spans="1:8" ht="15" x14ac:dyDescent="0.2">
      <c r="B13" s="14" t="str">
        <f>IF(C12="Constant","Value =",IF(C12="Erlang","Mean =",IF(C12="Exponential","Mean =",IF(C12="Translated Exponential","Minimum Value =","Minimum Value ="))))</f>
        <v>Minimum Value =</v>
      </c>
      <c r="C13" s="15">
        <v>10</v>
      </c>
      <c r="E13" s="12" t="s">
        <v>4</v>
      </c>
      <c r="F13" s="17">
        <v>0.22883910767526117</v>
      </c>
      <c r="G13" s="18">
        <v>0.2222052851121209</v>
      </c>
      <c r="H13" s="19">
        <v>0.23547293023840143</v>
      </c>
    </row>
    <row r="14" spans="1:8" ht="15" x14ac:dyDescent="0.2">
      <c r="B14" s="14" t="str">
        <f>IF(C12="Erlang","k =",IF(C12="Translated Exponential","Mean =",IF(C12="Uniform","Maximum Value =","")))</f>
        <v>Mean =</v>
      </c>
      <c r="C14" s="15">
        <v>20</v>
      </c>
      <c r="E14" s="12" t="s">
        <v>5</v>
      </c>
      <c r="F14" s="17">
        <v>0.1140960978276401</v>
      </c>
      <c r="G14" s="18">
        <v>0.10872706749227692</v>
      </c>
      <c r="H14" s="19">
        <v>0.11946512816300328</v>
      </c>
    </row>
    <row r="15" spans="1:8" ht="15" x14ac:dyDescent="0.2">
      <c r="E15" s="12" t="s">
        <v>6</v>
      </c>
      <c r="F15" s="17">
        <v>4.7339579203895629E-2</v>
      </c>
      <c r="G15" s="18">
        <v>4.3151836502513197E-2</v>
      </c>
      <c r="H15" s="19">
        <v>5.1527321905278062E-2</v>
      </c>
    </row>
    <row r="16" spans="1:8" ht="15" x14ac:dyDescent="0.2">
      <c r="B16" s="5" t="s">
        <v>28</v>
      </c>
      <c r="E16" s="12" t="s">
        <v>7</v>
      </c>
      <c r="F16" s="17">
        <v>1.5075757083980089E-2</v>
      </c>
      <c r="G16" s="18">
        <v>1.2746868459537607E-2</v>
      </c>
      <c r="H16" s="19">
        <v>1.740464570842257E-2</v>
      </c>
    </row>
    <row r="17" spans="2:10" ht="15" x14ac:dyDescent="0.2">
      <c r="B17" s="14" t="s">
        <v>27</v>
      </c>
      <c r="C17" s="16">
        <v>10000</v>
      </c>
      <c r="E17" s="12" t="s">
        <v>8</v>
      </c>
      <c r="F17" s="17">
        <v>5.0118760907285091E-3</v>
      </c>
      <c r="G17" s="18">
        <v>3.5076975814573963E-3</v>
      </c>
      <c r="H17" s="19">
        <v>6.5160545999996215E-3</v>
      </c>
    </row>
    <row r="18" spans="2:10" ht="15" x14ac:dyDescent="0.2">
      <c r="E18" s="12" t="s">
        <v>9</v>
      </c>
      <c r="F18" s="17">
        <v>1.1715836274908105E-3</v>
      </c>
      <c r="G18" s="18">
        <v>5.2441585428788552E-4</v>
      </c>
      <c r="H18" s="19">
        <v>1.8187514006937355E-3</v>
      </c>
    </row>
    <row r="19" spans="2:10" ht="15" x14ac:dyDescent="0.2">
      <c r="E19" s="12" t="s">
        <v>10</v>
      </c>
      <c r="F19" s="17">
        <v>4.0271904034993878E-4</v>
      </c>
      <c r="G19" s="18">
        <v>-2.4067403603868058E-5</v>
      </c>
      <c r="H19" s="19">
        <v>8.2950548430374567E-4</v>
      </c>
    </row>
    <row r="20" spans="2:10" ht="15" x14ac:dyDescent="0.2">
      <c r="E20" s="12" t="s">
        <v>11</v>
      </c>
      <c r="F20" s="17">
        <v>0</v>
      </c>
      <c r="G20" s="18">
        <v>0</v>
      </c>
      <c r="H20" s="19">
        <v>0</v>
      </c>
    </row>
    <row r="21" spans="2:10" ht="16" thickBot="1" x14ac:dyDescent="0.25">
      <c r="E21" s="13" t="s">
        <v>12</v>
      </c>
      <c r="F21" s="20">
        <v>0</v>
      </c>
      <c r="G21" s="21">
        <v>0</v>
      </c>
      <c r="H21" s="22">
        <v>0</v>
      </c>
    </row>
    <row r="24" spans="2:10" x14ac:dyDescent="0.15">
      <c r="B24" s="1" t="s">
        <v>31</v>
      </c>
    </row>
    <row r="25" spans="2:10" x14ac:dyDescent="0.15">
      <c r="B25" s="1" t="s">
        <v>32</v>
      </c>
      <c r="F25" s="25" t="s">
        <v>36</v>
      </c>
      <c r="G25" s="26"/>
      <c r="H25" s="26"/>
      <c r="I25" s="26"/>
      <c r="J25" s="26"/>
    </row>
    <row r="26" spans="2:10" x14ac:dyDescent="0.15">
      <c r="B26" s="1">
        <f>200*1+100*1</f>
        <v>300</v>
      </c>
      <c r="C26" s="3" t="s">
        <v>33</v>
      </c>
      <c r="F26" s="26"/>
      <c r="G26" s="26"/>
      <c r="H26" s="26"/>
      <c r="I26" s="26"/>
      <c r="J26" s="26"/>
    </row>
    <row r="27" spans="2:10" x14ac:dyDescent="0.15">
      <c r="F27" s="26"/>
      <c r="G27" s="26"/>
      <c r="H27" s="26"/>
      <c r="I27" s="26"/>
      <c r="J27" s="26"/>
    </row>
    <row r="28" spans="2:10" x14ac:dyDescent="0.15">
      <c r="B28" s="5" t="s">
        <v>34</v>
      </c>
      <c r="F28" s="26"/>
      <c r="G28" s="26"/>
      <c r="H28" s="26"/>
      <c r="I28" s="26"/>
      <c r="J28" s="26"/>
    </row>
    <row r="29" spans="2:10" x14ac:dyDescent="0.15">
      <c r="B29" s="1" t="s">
        <v>35</v>
      </c>
      <c r="C29" s="3">
        <f>200*0.7+100*0.7</f>
        <v>210</v>
      </c>
      <c r="F29" s="26"/>
      <c r="G29" s="26"/>
      <c r="H29" s="26"/>
      <c r="I29" s="26"/>
      <c r="J29" s="26"/>
    </row>
    <row r="30" spans="2:10" x14ac:dyDescent="0.15">
      <c r="B30" s="1" t="s">
        <v>37</v>
      </c>
      <c r="C30" s="3">
        <v>1.4</v>
      </c>
      <c r="F30" s="26"/>
      <c r="G30" s="26"/>
      <c r="H30" s="26"/>
      <c r="I30" s="26"/>
      <c r="J30" s="26"/>
    </row>
    <row r="31" spans="2:10" x14ac:dyDescent="0.15">
      <c r="B31" s="1" t="s">
        <v>38</v>
      </c>
      <c r="C31" s="3">
        <f>90-30</f>
        <v>60</v>
      </c>
      <c r="D31" s="1" t="s">
        <v>39</v>
      </c>
      <c r="F31" s="26"/>
      <c r="G31" s="26"/>
      <c r="H31" s="26"/>
      <c r="I31" s="26"/>
      <c r="J31" s="26"/>
    </row>
    <row r="34" spans="2:2" x14ac:dyDescent="0.15">
      <c r="B34" s="1" t="s">
        <v>46</v>
      </c>
    </row>
    <row r="35" spans="2:2" x14ac:dyDescent="0.15">
      <c r="B35" s="1" t="s">
        <v>47</v>
      </c>
    </row>
  </sheetData>
  <mergeCells count="2">
    <mergeCell ref="G4:H4"/>
    <mergeCell ref="F25:J31"/>
  </mergeCells>
  <phoneticPr fontId="0" type="noConversion"/>
  <conditionalFormatting sqref="C9">
    <cfRule type="expression" dxfId="5" priority="1" stopIfTrue="1">
      <formula>OR(C7="Exponential",C7="Constant")</formula>
    </cfRule>
  </conditionalFormatting>
  <conditionalFormatting sqref="C14">
    <cfRule type="expression" dxfId="4" priority="2" stopIfTrue="1">
      <formula>OR(C12="Constant",C12="Exponential")</formula>
    </cfRule>
  </conditionalFormatting>
  <dataValidations count="3">
    <dataValidation type="list" allowBlank="1" showInputMessage="1" showErrorMessage="1" sqref="C7 C12" xr:uid="{00000000-0002-0000-0000-000000000000}">
      <formula1>"Constant,Erlang,Exponential,Translated Exponential,Uniform"</formula1>
    </dataValidation>
    <dataValidation type="whole" allowBlank="1" showInputMessage="1" showErrorMessage="1" error="The number of arrivals simulated must be an integer between 1 and 1,000,000." sqref="C17" xr:uid="{00000000-0002-0000-0000-000002000000}">
      <formula1>1</formula1>
      <formula2>1000000</formula2>
    </dataValidation>
    <dataValidation type="whole" allowBlank="1" showInputMessage="1" showErrorMessage="1" error="The number of servers must be between 1 and 25 (inclusive)." sqref="C4" xr:uid="{00000000-0002-0000-0000-000003000000}">
      <formula1>1</formula1>
      <formula2>25</formula2>
    </dataValidation>
  </dataValidations>
  <printOptions headings="1" gridLines="1"/>
  <pageMargins left="0.75" right="0.75" top="1" bottom="1" header="0.5" footer="0.5"/>
  <pageSetup paperSize="0" orientation="landscape"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3D39-41AB-A54A-BEC2-47F21F378830}">
  <sheetPr codeName="Sheet8">
    <pageSetUpPr fitToPage="1"/>
  </sheetPr>
  <dimension ref="A1:J33"/>
  <sheetViews>
    <sheetView topLeftCell="A4" workbookViewId="0">
      <selection activeCell="B34" sqref="B34"/>
    </sheetView>
  </sheetViews>
  <sheetFormatPr baseColWidth="10" defaultColWidth="10.83203125" defaultRowHeight="13" x14ac:dyDescent="0.15"/>
  <cols>
    <col min="1" max="1" width="2.83203125" style="1" customWidth="1"/>
    <col min="2" max="2" width="21.5" style="1" bestFit="1" customWidth="1"/>
    <col min="3" max="3" width="19.6640625" style="3" bestFit="1" customWidth="1"/>
    <col min="4" max="4" width="10.83203125" style="1" customWidth="1"/>
    <col min="5" max="5" width="5.5" style="1" customWidth="1"/>
    <col min="6" max="6" width="10.83203125" style="3" customWidth="1"/>
    <col min="7" max="8" width="12.83203125" style="1" customWidth="1"/>
    <col min="9" max="16384" width="10.83203125" style="1"/>
  </cols>
  <sheetData>
    <row r="1" spans="1:8" ht="18" x14ac:dyDescent="0.2">
      <c r="A1" s="2" t="s">
        <v>13</v>
      </c>
    </row>
    <row r="3" spans="1:8" ht="14" thickBot="1" x14ac:dyDescent="0.2">
      <c r="C3" s="4" t="s">
        <v>26</v>
      </c>
      <c r="F3" s="1"/>
      <c r="G3" s="5" t="s">
        <v>25</v>
      </c>
    </row>
    <row r="4" spans="1:8" x14ac:dyDescent="0.15">
      <c r="B4" s="14" t="s">
        <v>14</v>
      </c>
      <c r="C4" s="15">
        <v>2</v>
      </c>
      <c r="E4" s="6"/>
      <c r="F4" s="7" t="s">
        <v>18</v>
      </c>
      <c r="G4" s="23" t="s">
        <v>22</v>
      </c>
      <c r="H4" s="24"/>
    </row>
    <row r="5" spans="1:8" x14ac:dyDescent="0.15">
      <c r="E5" s="8"/>
      <c r="F5" s="9" t="s">
        <v>19</v>
      </c>
      <c r="G5" s="10" t="s">
        <v>20</v>
      </c>
      <c r="H5" s="11" t="s">
        <v>21</v>
      </c>
    </row>
    <row r="6" spans="1:8" x14ac:dyDescent="0.15">
      <c r="B6" s="5" t="s">
        <v>17</v>
      </c>
      <c r="E6" s="12" t="s">
        <v>23</v>
      </c>
      <c r="F6" s="17">
        <v>1.3848142166025033</v>
      </c>
      <c r="G6" s="18">
        <v>1.3659624328163125</v>
      </c>
      <c r="H6" s="19">
        <v>1.403666000388694</v>
      </c>
    </row>
    <row r="7" spans="1:8" ht="15" x14ac:dyDescent="0.2">
      <c r="B7" s="14" t="s">
        <v>16</v>
      </c>
      <c r="C7" s="15" t="s">
        <v>41</v>
      </c>
      <c r="E7" s="12" t="s">
        <v>0</v>
      </c>
      <c r="F7" s="17">
        <v>5.3635342302215491E-2</v>
      </c>
      <c r="G7" s="18">
        <v>4.5969026764222473E-2</v>
      </c>
      <c r="H7" s="19">
        <v>6.1301657840208509E-2</v>
      </c>
    </row>
    <row r="8" spans="1:8" x14ac:dyDescent="0.15">
      <c r="B8" s="14" t="str">
        <f>IF(C7="Constant","Value =",IF(C7="Erlang","Mean =",IF(C7="Exponential","Mean =",IF(C7="Translated Exponential","Minimum Value =","Minimum Value ="))))</f>
        <v>Value =</v>
      </c>
      <c r="C8" s="15">
        <v>15</v>
      </c>
      <c r="E8" s="12" t="s">
        <v>24</v>
      </c>
      <c r="F8" s="17">
        <v>20.772213249037549</v>
      </c>
      <c r="G8" s="18">
        <v>20.489436492244703</v>
      </c>
      <c r="H8" s="19">
        <v>21.054990005830394</v>
      </c>
    </row>
    <row r="9" spans="1:8" ht="15" x14ac:dyDescent="0.2">
      <c r="B9" s="14" t="str">
        <f>IF(C7="Erlang","k =",IF(C7="Translated Exponential","Mean =",IF(C7="Uniform","Maximum Value =","")))</f>
        <v/>
      </c>
      <c r="C9" s="15"/>
      <c r="E9" s="12" t="s">
        <v>1</v>
      </c>
      <c r="F9" s="17">
        <v>0.8045301345332323</v>
      </c>
      <c r="G9" s="18">
        <v>0.68953540146333703</v>
      </c>
      <c r="H9" s="19">
        <v>0.91952486760312757</v>
      </c>
    </row>
    <row r="10" spans="1:8" x14ac:dyDescent="0.15">
      <c r="E10" s="12"/>
      <c r="F10" s="17"/>
      <c r="G10" s="18"/>
      <c r="H10" s="19"/>
    </row>
    <row r="11" spans="1:8" ht="15" x14ac:dyDescent="0.2">
      <c r="B11" s="5" t="s">
        <v>15</v>
      </c>
      <c r="E11" s="12" t="s">
        <v>2</v>
      </c>
      <c r="F11" s="17">
        <v>5.2497327415571948E-2</v>
      </c>
      <c r="G11" s="18">
        <v>5.031033181519113E-2</v>
      </c>
      <c r="H11" s="19">
        <v>5.4684323015952767E-2</v>
      </c>
    </row>
    <row r="12" spans="1:8" ht="15" x14ac:dyDescent="0.2">
      <c r="B12" s="14" t="s">
        <v>16</v>
      </c>
      <c r="C12" s="15" t="s">
        <v>30</v>
      </c>
      <c r="E12" s="12" t="s">
        <v>3</v>
      </c>
      <c r="F12" s="17">
        <v>0.56382647086856852</v>
      </c>
      <c r="G12" s="18">
        <v>0.5539071374908584</v>
      </c>
      <c r="H12" s="19">
        <v>0.57374580424627863</v>
      </c>
    </row>
    <row r="13" spans="1:8" ht="15" x14ac:dyDescent="0.2">
      <c r="B13" s="14" t="str">
        <f>IF(C12="Constant","Value =",IF(C12="Erlang","Mean =",IF(C12="Exponential","Mean =",IF(C12="Translated Exponential","Minimum Value =","Minimum Value ="))))</f>
        <v>Minimum Value =</v>
      </c>
      <c r="C13" s="15">
        <v>10</v>
      </c>
      <c r="E13" s="12" t="s">
        <v>4</v>
      </c>
      <c r="F13" s="17">
        <v>0.33412071399071636</v>
      </c>
      <c r="G13" s="18">
        <v>0.32615621059507449</v>
      </c>
      <c r="H13" s="19">
        <v>0.34208521738635822</v>
      </c>
    </row>
    <row r="14" spans="1:8" ht="15" x14ac:dyDescent="0.2">
      <c r="B14" s="14" t="str">
        <f>IF(C12="Erlang","k =",IF(C12="Translated Exponential","Mean =",IF(C12="Uniform","Maximum Value =","")))</f>
        <v>Mean =</v>
      </c>
      <c r="C14" s="15">
        <v>20</v>
      </c>
      <c r="E14" s="12" t="s">
        <v>5</v>
      </c>
      <c r="F14" s="17">
        <v>4.5953745347480944E-2</v>
      </c>
      <c r="G14" s="18">
        <v>4.0865361047776674E-2</v>
      </c>
      <c r="H14" s="19">
        <v>5.1042129647185214E-2</v>
      </c>
    </row>
    <row r="15" spans="1:8" ht="15" x14ac:dyDescent="0.2">
      <c r="E15" s="12" t="s">
        <v>6</v>
      </c>
      <c r="F15" s="17">
        <v>3.1368218441737462E-3</v>
      </c>
      <c r="G15" s="18">
        <v>1.8767928317915134E-3</v>
      </c>
      <c r="H15" s="19">
        <v>4.3968508565559788E-3</v>
      </c>
    </row>
    <row r="16" spans="1:8" ht="15" x14ac:dyDescent="0.2">
      <c r="B16" s="5" t="s">
        <v>28</v>
      </c>
      <c r="E16" s="12" t="s">
        <v>7</v>
      </c>
      <c r="F16" s="17">
        <v>4.5172886756678131E-4</v>
      </c>
      <c r="G16" s="18">
        <v>-3.0521793232177045E-4</v>
      </c>
      <c r="H16" s="19">
        <v>1.208675667455333E-3</v>
      </c>
    </row>
    <row r="17" spans="2:10" ht="15" x14ac:dyDescent="0.2">
      <c r="B17" s="14" t="s">
        <v>27</v>
      </c>
      <c r="C17" s="16">
        <v>10000</v>
      </c>
      <c r="E17" s="12" t="s">
        <v>8</v>
      </c>
      <c r="F17" s="17">
        <v>1.3191665921677838E-5</v>
      </c>
      <c r="G17" s="18">
        <v>-1.2643393098554764E-5</v>
      </c>
      <c r="H17" s="19">
        <v>3.9026724941910438E-5</v>
      </c>
    </row>
    <row r="18" spans="2:10" ht="15" x14ac:dyDescent="0.2">
      <c r="E18" s="12" t="s">
        <v>9</v>
      </c>
      <c r="F18" s="17">
        <v>0</v>
      </c>
      <c r="G18" s="18">
        <v>0</v>
      </c>
      <c r="H18" s="19">
        <v>0</v>
      </c>
    </row>
    <row r="19" spans="2:10" ht="15" x14ac:dyDescent="0.2">
      <c r="E19" s="12" t="s">
        <v>10</v>
      </c>
      <c r="F19" s="17">
        <v>0</v>
      </c>
      <c r="G19" s="18">
        <v>0</v>
      </c>
      <c r="H19" s="19">
        <v>0</v>
      </c>
    </row>
    <row r="20" spans="2:10" ht="15" x14ac:dyDescent="0.2">
      <c r="E20" s="12" t="s">
        <v>11</v>
      </c>
      <c r="F20" s="17">
        <v>0</v>
      </c>
      <c r="G20" s="18">
        <v>0</v>
      </c>
      <c r="H20" s="19">
        <v>0</v>
      </c>
    </row>
    <row r="21" spans="2:10" ht="16" thickBot="1" x14ac:dyDescent="0.25">
      <c r="E21" s="13" t="s">
        <v>12</v>
      </c>
      <c r="F21" s="20">
        <v>0</v>
      </c>
      <c r="G21" s="21">
        <v>0</v>
      </c>
      <c r="H21" s="22">
        <v>0</v>
      </c>
    </row>
    <row r="24" spans="2:10" x14ac:dyDescent="0.15">
      <c r="B24" s="1" t="s">
        <v>31</v>
      </c>
    </row>
    <row r="25" spans="2:10" x14ac:dyDescent="0.15">
      <c r="B25" s="1" t="s">
        <v>32</v>
      </c>
      <c r="F25" s="25" t="s">
        <v>40</v>
      </c>
      <c r="G25" s="26"/>
      <c r="H25" s="26"/>
      <c r="I25" s="26"/>
      <c r="J25" s="26"/>
    </row>
    <row r="26" spans="2:10" x14ac:dyDescent="0.15">
      <c r="B26" s="1">
        <f>200*1+100*1</f>
        <v>300</v>
      </c>
      <c r="C26" s="3" t="s">
        <v>33</v>
      </c>
      <c r="F26" s="26"/>
      <c r="G26" s="26"/>
      <c r="H26" s="26"/>
      <c r="I26" s="26"/>
      <c r="J26" s="26"/>
    </row>
    <row r="27" spans="2:10" x14ac:dyDescent="0.15">
      <c r="F27" s="26"/>
      <c r="G27" s="26"/>
      <c r="H27" s="26"/>
      <c r="I27" s="26"/>
      <c r="J27" s="26"/>
    </row>
    <row r="28" spans="2:10" x14ac:dyDescent="0.15">
      <c r="B28" s="5" t="s">
        <v>34</v>
      </c>
      <c r="F28" s="26"/>
      <c r="G28" s="26"/>
      <c r="H28" s="26"/>
      <c r="I28" s="26"/>
      <c r="J28" s="26"/>
    </row>
    <row r="29" spans="2:10" x14ac:dyDescent="0.15">
      <c r="B29" s="1" t="s">
        <v>35</v>
      </c>
      <c r="C29" s="3">
        <f>200*0.7+100*0.7</f>
        <v>210</v>
      </c>
      <c r="F29" s="26"/>
      <c r="G29" s="26"/>
      <c r="H29" s="26"/>
      <c r="I29" s="26"/>
      <c r="J29" s="26"/>
    </row>
    <row r="30" spans="2:10" x14ac:dyDescent="0.15">
      <c r="B30" s="1" t="s">
        <v>37</v>
      </c>
      <c r="C30" s="3">
        <v>1.38</v>
      </c>
      <c r="F30" s="26"/>
      <c r="G30" s="26"/>
      <c r="H30" s="26"/>
      <c r="I30" s="26"/>
      <c r="J30" s="26"/>
    </row>
    <row r="31" spans="2:10" x14ac:dyDescent="0.15">
      <c r="B31" s="1" t="s">
        <v>38</v>
      </c>
      <c r="C31" s="3">
        <f>90-60</f>
        <v>30</v>
      </c>
      <c r="D31" s="1" t="s">
        <v>42</v>
      </c>
      <c r="F31" s="26"/>
      <c r="G31" s="26"/>
      <c r="H31" s="26"/>
      <c r="I31" s="26"/>
      <c r="J31" s="26"/>
    </row>
    <row r="33" spans="2:2" x14ac:dyDescent="0.15">
      <c r="B33" s="1" t="s">
        <v>43</v>
      </c>
    </row>
  </sheetData>
  <mergeCells count="2">
    <mergeCell ref="G4:H4"/>
    <mergeCell ref="F25:J31"/>
  </mergeCells>
  <conditionalFormatting sqref="C9">
    <cfRule type="expression" dxfId="3" priority="1" stopIfTrue="1">
      <formula>OR(C7="Exponential",C7="Constant")</formula>
    </cfRule>
  </conditionalFormatting>
  <conditionalFormatting sqref="C14">
    <cfRule type="expression" dxfId="2" priority="2" stopIfTrue="1">
      <formula>OR(C12="Constant",C12="Exponential")</formula>
    </cfRule>
  </conditionalFormatting>
  <dataValidations count="3">
    <dataValidation type="whole" allowBlank="1" showInputMessage="1" showErrorMessage="1" error="The number of servers must be between 1 and 25 (inclusive)." sqref="C4" xr:uid="{13C0A2E8-74DE-0346-B1E7-A3442A9C6A9D}">
      <formula1>1</formula1>
      <formula2>25</formula2>
    </dataValidation>
    <dataValidation type="whole" allowBlank="1" showInputMessage="1" showErrorMessage="1" error="The number of arrivals simulated must be an integer between 1 and 1,000,000." sqref="C17" xr:uid="{C292F4CD-5C3F-2048-BB5C-8B72CF039D67}">
      <formula1>1</formula1>
      <formula2>1000000</formula2>
    </dataValidation>
    <dataValidation type="list" allowBlank="1" showInputMessage="1" showErrorMessage="1" sqref="C7 C12" xr:uid="{6BF941EB-64E4-0046-8B64-73F018ACBC85}">
      <formula1>"Constant,Erlang,Exponential,Translated Exponential,Uniform"</formula1>
    </dataValidation>
  </dataValidations>
  <printOptions headings="1" gridLines="1"/>
  <pageMargins left="0.75" right="0.75" top="1" bottom="1" header="0.5" footer="0.5"/>
  <pageSetup paperSize="0" orientation="landscape" horizontalDpi="4294967292" verticalDpi="429496729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C59B-8127-B44E-85B7-30A740003FDE}">
  <sheetPr codeName="Sheet9">
    <pageSetUpPr fitToPage="1"/>
  </sheetPr>
  <dimension ref="A1:J33"/>
  <sheetViews>
    <sheetView topLeftCell="B1" workbookViewId="0">
      <selection activeCell="B34" sqref="B34"/>
    </sheetView>
  </sheetViews>
  <sheetFormatPr baseColWidth="10" defaultColWidth="10.83203125" defaultRowHeight="13" x14ac:dyDescent="0.15"/>
  <cols>
    <col min="1" max="1" width="2.83203125" style="1" customWidth="1"/>
    <col min="2" max="2" width="21.5" style="1" bestFit="1" customWidth="1"/>
    <col min="3" max="3" width="19.6640625" style="3" bestFit="1" customWidth="1"/>
    <col min="4" max="4" width="10.83203125" style="1" customWidth="1"/>
    <col min="5" max="5" width="5.5" style="1" customWidth="1"/>
    <col min="6" max="6" width="10.83203125" style="3" customWidth="1"/>
    <col min="7" max="8" width="12.83203125" style="1" customWidth="1"/>
    <col min="9" max="16384" width="10.83203125" style="1"/>
  </cols>
  <sheetData>
    <row r="1" spans="1:8" ht="18" x14ac:dyDescent="0.2">
      <c r="A1" s="2" t="s">
        <v>13</v>
      </c>
    </row>
    <row r="3" spans="1:8" ht="14" thickBot="1" x14ac:dyDescent="0.2">
      <c r="C3" s="4" t="s">
        <v>26</v>
      </c>
      <c r="F3" s="1"/>
      <c r="G3" s="5" t="s">
        <v>25</v>
      </c>
    </row>
    <row r="4" spans="1:8" x14ac:dyDescent="0.15">
      <c r="B4" s="14" t="s">
        <v>14</v>
      </c>
      <c r="C4" s="15">
        <v>3</v>
      </c>
      <c r="E4" s="6"/>
      <c r="F4" s="7" t="s">
        <v>18</v>
      </c>
      <c r="G4" s="23" t="s">
        <v>22</v>
      </c>
      <c r="H4" s="24"/>
    </row>
    <row r="5" spans="1:8" x14ac:dyDescent="0.15">
      <c r="E5" s="8"/>
      <c r="F5" s="9" t="s">
        <v>19</v>
      </c>
      <c r="G5" s="10" t="s">
        <v>20</v>
      </c>
      <c r="H5" s="11" t="s">
        <v>21</v>
      </c>
    </row>
    <row r="6" spans="1:8" x14ac:dyDescent="0.15">
      <c r="B6" s="5" t="s">
        <v>17</v>
      </c>
      <c r="E6" s="12" t="s">
        <v>23</v>
      </c>
      <c r="F6" s="17">
        <v>1.3344285032171266</v>
      </c>
      <c r="G6" s="18">
        <v>1.3208336762648647</v>
      </c>
      <c r="H6" s="19">
        <v>1.3480233301693885</v>
      </c>
    </row>
    <row r="7" spans="1:8" ht="15" x14ac:dyDescent="0.2">
      <c r="B7" s="14" t="s">
        <v>16</v>
      </c>
      <c r="C7" s="15" t="s">
        <v>41</v>
      </c>
      <c r="E7" s="12" t="s">
        <v>0</v>
      </c>
      <c r="F7" s="17">
        <v>9.9065018043831515E-4</v>
      </c>
      <c r="G7" s="18">
        <v>4.6981349417649532E-4</v>
      </c>
      <c r="H7" s="19">
        <v>1.5114868667001351E-3</v>
      </c>
    </row>
    <row r="8" spans="1:8" x14ac:dyDescent="0.15">
      <c r="B8" s="14" t="str">
        <f>IF(C7="Constant","Value =",IF(C7="Erlang","Mean =",IF(C7="Exponential","Mean =",IF(C7="Translated Exponential","Minimum Value =","Minimum Value ="))))</f>
        <v>Value =</v>
      </c>
      <c r="C8" s="15">
        <v>15</v>
      </c>
      <c r="E8" s="12" t="s">
        <v>24</v>
      </c>
      <c r="F8" s="17">
        <v>20.0164275482569</v>
      </c>
      <c r="G8" s="18">
        <v>19.812505143972963</v>
      </c>
      <c r="H8" s="19">
        <v>20.220349952540836</v>
      </c>
    </row>
    <row r="9" spans="1:8" ht="15" x14ac:dyDescent="0.2">
      <c r="B9" s="14" t="str">
        <f>IF(C7="Erlang","k =",IF(C7="Translated Exponential","Mean =",IF(C7="Uniform","Maximum Value =","")))</f>
        <v/>
      </c>
      <c r="C9" s="15"/>
      <c r="E9" s="12" t="s">
        <v>1</v>
      </c>
      <c r="F9" s="17">
        <v>1.4859752706574728E-2</v>
      </c>
      <c r="G9" s="18">
        <v>7.0472024126474291E-3</v>
      </c>
      <c r="H9" s="19">
        <v>2.2672303000502027E-2</v>
      </c>
    </row>
    <row r="10" spans="1:8" x14ac:dyDescent="0.15">
      <c r="E10" s="12"/>
      <c r="F10" s="17"/>
      <c r="G10" s="18"/>
      <c r="H10" s="19"/>
    </row>
    <row r="11" spans="1:8" ht="15" x14ac:dyDescent="0.2">
      <c r="B11" s="5" t="s">
        <v>15</v>
      </c>
      <c r="E11" s="12" t="s">
        <v>2</v>
      </c>
      <c r="F11" s="17">
        <v>5.5260962839717515E-2</v>
      </c>
      <c r="G11" s="18">
        <v>5.3153110462339684E-2</v>
      </c>
      <c r="H11" s="19">
        <v>5.7368815217095345E-2</v>
      </c>
    </row>
    <row r="12" spans="1:8" ht="15" x14ac:dyDescent="0.2">
      <c r="B12" s="14" t="s">
        <v>16</v>
      </c>
      <c r="C12" s="15" t="s">
        <v>30</v>
      </c>
      <c r="E12" s="12" t="s">
        <v>3</v>
      </c>
      <c r="F12" s="17">
        <v>0.58927360754522196</v>
      </c>
      <c r="G12" s="18">
        <v>0.58106787994488096</v>
      </c>
      <c r="H12" s="19">
        <v>0.59747933514556295</v>
      </c>
    </row>
    <row r="13" spans="1:8" ht="15" x14ac:dyDescent="0.2">
      <c r="B13" s="14" t="str">
        <f>IF(C12="Constant","Value =",IF(C12="Erlang","Mean =",IF(C12="Exponential","Mean =",IF(C12="Translated Exponential","Minimum Value =","Minimum Value ="))))</f>
        <v>Minimum Value =</v>
      </c>
      <c r="C13" s="15">
        <v>10</v>
      </c>
      <c r="E13" s="12" t="s">
        <v>4</v>
      </c>
      <c r="F13" s="17">
        <v>0.32223204335371264</v>
      </c>
      <c r="G13" s="18">
        <v>0.3145848368891016</v>
      </c>
      <c r="H13" s="19">
        <v>0.32987924981832367</v>
      </c>
    </row>
    <row r="14" spans="1:8" ht="15" x14ac:dyDescent="0.2">
      <c r="B14" s="14" t="str">
        <f>IF(C12="Erlang","k =",IF(C12="Translated Exponential","Mean =",IF(C12="Uniform","Maximum Value =","")))</f>
        <v>Mean =</v>
      </c>
      <c r="C14" s="15">
        <v>20</v>
      </c>
      <c r="E14" s="12" t="s">
        <v>5</v>
      </c>
      <c r="F14" s="17">
        <v>3.2242736080909482E-2</v>
      </c>
      <c r="G14" s="18">
        <v>2.9108052767240999E-2</v>
      </c>
      <c r="H14" s="19">
        <v>3.5377419394577961E-2</v>
      </c>
    </row>
    <row r="15" spans="1:8" ht="15" x14ac:dyDescent="0.2">
      <c r="E15" s="12" t="s">
        <v>6</v>
      </c>
      <c r="F15" s="17">
        <v>9.9065018043831515E-4</v>
      </c>
      <c r="G15" s="18">
        <v>4.6981349417649532E-4</v>
      </c>
      <c r="H15" s="19">
        <v>1.5114868667001351E-3</v>
      </c>
    </row>
    <row r="16" spans="1:8" ht="15" x14ac:dyDescent="0.2">
      <c r="B16" s="5" t="s">
        <v>28</v>
      </c>
      <c r="E16" s="12" t="s">
        <v>7</v>
      </c>
      <c r="F16" s="17">
        <v>0</v>
      </c>
      <c r="G16" s="18">
        <v>0</v>
      </c>
      <c r="H16" s="19">
        <v>0</v>
      </c>
    </row>
    <row r="17" spans="2:10" ht="15" x14ac:dyDescent="0.2">
      <c r="B17" s="14" t="s">
        <v>27</v>
      </c>
      <c r="C17" s="16">
        <v>10000</v>
      </c>
      <c r="E17" s="12" t="s">
        <v>8</v>
      </c>
      <c r="F17" s="17">
        <v>0</v>
      </c>
      <c r="G17" s="18">
        <v>0</v>
      </c>
      <c r="H17" s="19">
        <v>0</v>
      </c>
    </row>
    <row r="18" spans="2:10" ht="15" x14ac:dyDescent="0.2">
      <c r="E18" s="12" t="s">
        <v>9</v>
      </c>
      <c r="F18" s="17">
        <v>0</v>
      </c>
      <c r="G18" s="18">
        <v>0</v>
      </c>
      <c r="H18" s="19">
        <v>0</v>
      </c>
    </row>
    <row r="19" spans="2:10" ht="15" x14ac:dyDescent="0.2">
      <c r="E19" s="12" t="s">
        <v>10</v>
      </c>
      <c r="F19" s="17">
        <v>0</v>
      </c>
      <c r="G19" s="18">
        <v>0</v>
      </c>
      <c r="H19" s="19">
        <v>0</v>
      </c>
    </row>
    <row r="20" spans="2:10" ht="15" x14ac:dyDescent="0.2">
      <c r="E20" s="12" t="s">
        <v>11</v>
      </c>
      <c r="F20" s="17">
        <v>0</v>
      </c>
      <c r="G20" s="18">
        <v>0</v>
      </c>
      <c r="H20" s="19">
        <v>0</v>
      </c>
    </row>
    <row r="21" spans="2:10" ht="16" thickBot="1" x14ac:dyDescent="0.25">
      <c r="E21" s="13" t="s">
        <v>12</v>
      </c>
      <c r="F21" s="20">
        <v>0</v>
      </c>
      <c r="G21" s="21">
        <v>0</v>
      </c>
      <c r="H21" s="22">
        <v>0</v>
      </c>
    </row>
    <row r="24" spans="2:10" x14ac:dyDescent="0.15">
      <c r="B24" s="1" t="s">
        <v>31</v>
      </c>
    </row>
    <row r="25" spans="2:10" x14ac:dyDescent="0.15">
      <c r="B25" s="1" t="s">
        <v>32</v>
      </c>
      <c r="F25" s="25" t="s">
        <v>44</v>
      </c>
      <c r="G25" s="26"/>
      <c r="H25" s="26"/>
      <c r="I25" s="26"/>
      <c r="J25" s="26"/>
    </row>
    <row r="26" spans="2:10" x14ac:dyDescent="0.15">
      <c r="B26" s="1">
        <f>200*1+100*1</f>
        <v>300</v>
      </c>
      <c r="C26" s="3" t="s">
        <v>33</v>
      </c>
      <c r="F26" s="26"/>
      <c r="G26" s="26"/>
      <c r="H26" s="26"/>
      <c r="I26" s="26"/>
      <c r="J26" s="26"/>
    </row>
    <row r="27" spans="2:10" x14ac:dyDescent="0.15">
      <c r="F27" s="26"/>
      <c r="G27" s="26"/>
      <c r="H27" s="26"/>
      <c r="I27" s="26"/>
      <c r="J27" s="26"/>
    </row>
    <row r="28" spans="2:10" x14ac:dyDescent="0.15">
      <c r="B28" s="5" t="s">
        <v>34</v>
      </c>
      <c r="F28" s="26"/>
      <c r="G28" s="26"/>
      <c r="H28" s="26"/>
      <c r="I28" s="26"/>
      <c r="J28" s="26"/>
    </row>
    <row r="29" spans="2:10" x14ac:dyDescent="0.15">
      <c r="B29" s="1" t="s">
        <v>35</v>
      </c>
      <c r="C29" s="3">
        <f>200*0.665+100*0.665</f>
        <v>199.5</v>
      </c>
      <c r="F29" s="26"/>
      <c r="G29" s="26"/>
      <c r="H29" s="26"/>
      <c r="I29" s="26"/>
      <c r="J29" s="26"/>
    </row>
    <row r="30" spans="2:10" x14ac:dyDescent="0.15">
      <c r="B30" s="1" t="s">
        <v>37</v>
      </c>
      <c r="C30" s="3">
        <v>1.33</v>
      </c>
      <c r="F30" s="26"/>
      <c r="G30" s="26"/>
      <c r="H30" s="26"/>
      <c r="I30" s="26"/>
      <c r="J30" s="26"/>
    </row>
    <row r="31" spans="2:10" x14ac:dyDescent="0.15">
      <c r="B31" s="1" t="s">
        <v>38</v>
      </c>
      <c r="C31" s="3">
        <f>85-60</f>
        <v>25</v>
      </c>
      <c r="D31" s="1" t="s">
        <v>45</v>
      </c>
      <c r="F31" s="26"/>
      <c r="G31" s="26"/>
      <c r="H31" s="26"/>
      <c r="I31" s="26"/>
      <c r="J31" s="26"/>
    </row>
    <row r="33" spans="2:2" x14ac:dyDescent="0.15">
      <c r="B33" s="1" t="s">
        <v>43</v>
      </c>
    </row>
  </sheetData>
  <mergeCells count="2">
    <mergeCell ref="G4:H4"/>
    <mergeCell ref="F25:J31"/>
  </mergeCells>
  <conditionalFormatting sqref="C9">
    <cfRule type="expression" dxfId="1" priority="1" stopIfTrue="1">
      <formula>OR(C7="Exponential",C7="Constant")</formula>
    </cfRule>
  </conditionalFormatting>
  <conditionalFormatting sqref="C14">
    <cfRule type="expression" dxfId="0" priority="2" stopIfTrue="1">
      <formula>OR(C12="Constant",C12="Exponential")</formula>
    </cfRule>
  </conditionalFormatting>
  <dataValidations count="3">
    <dataValidation type="list" allowBlank="1" showInputMessage="1" showErrorMessage="1" sqref="C7 C12" xr:uid="{E55B462D-BF19-754E-9DA8-F8F795EEF501}">
      <formula1>"Constant,Erlang,Exponential,Translated Exponential,Uniform"</formula1>
    </dataValidation>
    <dataValidation type="whole" allowBlank="1" showInputMessage="1" showErrorMessage="1" error="The number of arrivals simulated must be an integer between 1 and 1,000,000." sqref="C17" xr:uid="{97521CF9-78C3-7044-B926-0FE3EA3A4138}">
      <formula1>1</formula1>
      <formula2>1000000</formula2>
    </dataValidation>
    <dataValidation type="whole" allowBlank="1" showInputMessage="1" showErrorMessage="1" error="The number of servers must be between 1 and 25 (inclusive)." sqref="C4" xr:uid="{C449A940-5734-8048-A5AE-C83A7317B137}">
      <formula1>1</formula1>
      <formula2>25</formula2>
    </dataValidation>
  </dataValidations>
  <printOptions headings="1" gridLines="1"/>
  <pageMargins left="0.75" right="0.75" top="1" bottom="1" header="0.5" footer="0.5"/>
  <pageSetup paperSize="0" orientation="landscape" horizontalDpi="4294967292" verticalDpi="4294967292"/>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original</vt:lpstr>
      <vt:lpstr>propsal 1</vt:lpstr>
      <vt:lpstr>prop 2</vt:lpstr>
      <vt:lpstr>combo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Hillier</dc:creator>
  <cp:lastModifiedBy>Jackie O</cp:lastModifiedBy>
  <cp:lastPrinted>1999-06-01T06:51:53Z</cp:lastPrinted>
  <dcterms:created xsi:type="dcterms:W3CDTF">1999-02-21T04:48:26Z</dcterms:created>
  <dcterms:modified xsi:type="dcterms:W3CDTF">2023-06-30T01:49:40Z</dcterms:modified>
</cp:coreProperties>
</file>